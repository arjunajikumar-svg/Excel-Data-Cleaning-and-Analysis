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jun\Downloads\"/>
    </mc:Choice>
  </mc:AlternateContent>
  <xr:revisionPtr revIDLastSave="0" documentId="13_ncr:1_{2AEF82A4-4E21-4170-A94F-C1A7BBBD1F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cel Data Cleaning and Analy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H2" i="1" l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</calcChain>
</file>

<file path=xl/sharedStrings.xml><?xml version="1.0" encoding="utf-8"?>
<sst xmlns="http://schemas.openxmlformats.org/spreadsheetml/2006/main" count="37" uniqueCount="26">
  <si>
    <t>Transaction_ID</t>
  </si>
  <si>
    <t>Units_Sold</t>
  </si>
  <si>
    <t>Unit_Price</t>
  </si>
  <si>
    <t>Date</t>
  </si>
  <si>
    <t>200 units</t>
  </si>
  <si>
    <t>Low</t>
  </si>
  <si>
    <t>Region</t>
  </si>
  <si>
    <t>Product</t>
  </si>
  <si>
    <t>Code</t>
  </si>
  <si>
    <t>North</t>
  </si>
  <si>
    <t>WGT</t>
  </si>
  <si>
    <t>South</t>
  </si>
  <si>
    <t>GGT</t>
  </si>
  <si>
    <t>East</t>
  </si>
  <si>
    <t>ACC</t>
  </si>
  <si>
    <t>West</t>
  </si>
  <si>
    <t>Value</t>
  </si>
  <si>
    <t>Units Sold</t>
  </si>
  <si>
    <t>Total</t>
  </si>
  <si>
    <t>Mean</t>
  </si>
  <si>
    <t>Median</t>
  </si>
  <si>
    <t>Mode</t>
  </si>
  <si>
    <t>Standard Deviation</t>
  </si>
  <si>
    <t>Sum</t>
  </si>
  <si>
    <t>Count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</si>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</sst>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4" fontId="1" fillId="0" borderId="0" xfId="0" applyNumberFormat="1" applyFont="1"/>
    <xf numFmtId="14" fontId="0" fillId="0" borderId="0" xfId="0" applyNumberFormat="1"/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Continuous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74D9A-6017-4A51-8B87-23CDAA446D1A}" name="Table1" displayName="Table1" ref="A1:J10" totalsRowShown="0" headerRowDxfId="11" dataDxfId="10">
  <autoFilter ref="A1:J10" xr:uid="{0DA74D9A-6017-4A51-8B87-23CDAA446D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7397F7F-E807-4396-96E9-1748A8B3B2D6}" name="Transaction_ID" dataDxfId="9"/>
    <tableColumn id="2" xr3:uid="{C15A9469-4271-4058-BED7-BC6321C7657F}" name="Region" dataDxfId="8"/>
    <tableColumn id="3" xr3:uid="{636B6A22-44C2-4BBF-836D-480157F457D4}" name="Product" dataDxfId="7"/>
    <tableColumn id="7" xr3:uid="{B12679CC-9B7A-449D-A8A9-CE611DBB8613}" name="Code" dataDxfId="6"/>
    <tableColumn id="4" xr3:uid="{FECD0024-9624-4FD4-A952-6E648B4234A4}" name="Units_Sold" dataDxfId="5"/>
    <tableColumn id="9" xr3:uid="{703CE9EF-FEB8-41F2-8FF7-FDE9CBE7EEF0}" name="Units Sold" dataDxfId="4">
      <calculatedColumnFormula>VALUE(SUBSTITUTE(E2,"Low",0))</calculatedColumnFormula>
    </tableColumn>
    <tableColumn id="5" xr3:uid="{FD34DA11-4C3D-4E06-9C75-F931883FEDE2}" name="Unit_Price" dataDxfId="3"/>
    <tableColumn id="8" xr3:uid="{4E30BF17-C74D-4DA0-896D-B974DD5C290D}" name="Value" dataDxfId="2">
      <calculatedColumnFormula>TRIM(SUBSTITUTE(G2,"units",))</calculatedColumnFormula>
    </tableColumn>
    <tableColumn id="10" xr3:uid="{2B201D0B-CFBE-4FBC-AADE-07F0AF7FEB01}" name="Total" dataDxfId="1">
      <calculatedColumnFormula>Table1[[#This Row],[Units Sold]]*H2</calculatedColumnFormula>
    </tableColumn>
    <tableColumn id="6" xr3:uid="{804FEDBC-83BC-4C1B-A693-7D9DA38A8053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"/>
  <sheetViews>
    <sheetView tabSelected="1" workbookViewId="0">
      <selection activeCell="J23" sqref="J23"/>
    </sheetView>
  </sheetViews>
  <sheetFormatPr defaultColWidth="12.6640625" defaultRowHeight="15.75" customHeight="1" x14ac:dyDescent="0.25"/>
  <cols>
    <col min="1" max="1" width="16" customWidth="1"/>
    <col min="2" max="4" width="11.109375" customWidth="1"/>
    <col min="5" max="6" width="12.6640625" style="3"/>
    <col min="8" max="8" width="16.44140625" bestFit="1" customWidth="1"/>
    <col min="10" max="10" width="12.6640625" style="7"/>
    <col min="11" max="12" width="16.44140625" bestFit="1" customWidth="1"/>
    <col min="13" max="13" width="14" customWidth="1"/>
  </cols>
  <sheetData>
    <row r="1" spans="1:13" ht="13.2" x14ac:dyDescent="0.25">
      <c r="A1" s="1" t="s">
        <v>0</v>
      </c>
      <c r="B1" s="1" t="s">
        <v>6</v>
      </c>
      <c r="C1" s="1" t="s">
        <v>7</v>
      </c>
      <c r="D1" s="1" t="s">
        <v>8</v>
      </c>
      <c r="E1" s="2" t="s">
        <v>1</v>
      </c>
      <c r="F1" s="2" t="s">
        <v>17</v>
      </c>
      <c r="G1" s="1" t="s">
        <v>2</v>
      </c>
      <c r="H1" s="1" t="s">
        <v>16</v>
      </c>
      <c r="I1" s="1" t="s">
        <v>18</v>
      </c>
      <c r="J1" s="6" t="s">
        <v>3</v>
      </c>
    </row>
    <row r="2" spans="1:13" ht="16.8" customHeight="1" x14ac:dyDescent="0.25">
      <c r="A2" s="1">
        <v>1001</v>
      </c>
      <c r="B2" s="1" t="s">
        <v>9</v>
      </c>
      <c r="C2" s="1" t="s">
        <v>10</v>
      </c>
      <c r="D2" s="1">
        <v>1</v>
      </c>
      <c r="E2" s="2">
        <v>10</v>
      </c>
      <c r="F2" s="2">
        <f t="shared" ref="F2:F10" si="0">VALUE(SUBSTITUTE(E2,"Low",0))</f>
        <v>10</v>
      </c>
      <c r="G2" s="4">
        <v>150</v>
      </c>
      <c r="H2" s="5" t="str">
        <f t="shared" ref="H2:H10" si="1">TRIM(SUBSTITUTE(G2,"units",))</f>
        <v>150</v>
      </c>
      <c r="I2" s="5">
        <f>Table1[[#This Row],[Units Sold]]*H2</f>
        <v>1500</v>
      </c>
      <c r="J2" s="6">
        <v>46027</v>
      </c>
      <c r="L2" s="9" t="s">
        <v>25</v>
      </c>
      <c r="M2" s="9"/>
    </row>
    <row r="3" spans="1:13" ht="16.8" customHeight="1" x14ac:dyDescent="0.25">
      <c r="A3" s="1">
        <v>1002</v>
      </c>
      <c r="B3" s="1" t="s">
        <v>9</v>
      </c>
      <c r="C3" s="1" t="s">
        <v>10</v>
      </c>
      <c r="D3" s="1">
        <v>1</v>
      </c>
      <c r="E3" s="2">
        <v>5</v>
      </c>
      <c r="F3" s="2">
        <f t="shared" si="0"/>
        <v>5</v>
      </c>
      <c r="G3" s="4">
        <v>150</v>
      </c>
      <c r="H3" s="5" t="str">
        <f t="shared" si="1"/>
        <v>150</v>
      </c>
      <c r="I3" s="5">
        <f>Table1[[#This Row],[Units Sold]]*H3</f>
        <v>750</v>
      </c>
      <c r="J3" s="6">
        <v>46028</v>
      </c>
      <c r="L3" s="8"/>
      <c r="M3" s="8"/>
    </row>
    <row r="4" spans="1:13" ht="16.8" customHeight="1" x14ac:dyDescent="0.25">
      <c r="A4" s="1">
        <v>1003</v>
      </c>
      <c r="B4" s="1" t="s">
        <v>11</v>
      </c>
      <c r="C4" s="1" t="s">
        <v>12</v>
      </c>
      <c r="D4" s="1">
        <v>2</v>
      </c>
      <c r="E4" s="2">
        <v>12</v>
      </c>
      <c r="F4" s="2">
        <f t="shared" si="0"/>
        <v>12</v>
      </c>
      <c r="G4" s="2" t="s">
        <v>4</v>
      </c>
      <c r="H4" s="5" t="str">
        <f t="shared" si="1"/>
        <v>200</v>
      </c>
      <c r="I4" s="5">
        <f>Table1[[#This Row],[Units Sold]]*H4</f>
        <v>2400</v>
      </c>
      <c r="J4" s="6">
        <v>46029</v>
      </c>
      <c r="L4" s="8" t="s">
        <v>19</v>
      </c>
      <c r="M4" s="8">
        <v>1327.7777777777778</v>
      </c>
    </row>
    <row r="5" spans="1:13" ht="16.8" customHeight="1" x14ac:dyDescent="0.25">
      <c r="A5" s="1">
        <v>1004</v>
      </c>
      <c r="B5" s="1" t="s">
        <v>13</v>
      </c>
      <c r="C5" s="1" t="s">
        <v>14</v>
      </c>
      <c r="D5" s="1">
        <v>3</v>
      </c>
      <c r="E5" s="2">
        <v>8</v>
      </c>
      <c r="F5" s="2">
        <f t="shared" si="0"/>
        <v>8</v>
      </c>
      <c r="G5" s="4">
        <v>25</v>
      </c>
      <c r="H5" s="5" t="str">
        <f t="shared" si="1"/>
        <v>25</v>
      </c>
      <c r="I5" s="5">
        <f>Table1[[#This Row],[Units Sold]]*H5</f>
        <v>200</v>
      </c>
      <c r="J5" s="6">
        <v>46030</v>
      </c>
      <c r="L5" s="8" t="s">
        <v>20</v>
      </c>
      <c r="M5" s="8">
        <v>1400</v>
      </c>
    </row>
    <row r="6" spans="1:13" ht="16.8" customHeight="1" x14ac:dyDescent="0.25">
      <c r="A6" s="1">
        <v>1005</v>
      </c>
      <c r="B6" s="1" t="s">
        <v>15</v>
      </c>
      <c r="C6" s="1" t="s">
        <v>10</v>
      </c>
      <c r="D6" s="1">
        <v>1</v>
      </c>
      <c r="E6" s="2">
        <v>15</v>
      </c>
      <c r="F6" s="2">
        <f t="shared" si="0"/>
        <v>15</v>
      </c>
      <c r="G6" s="4">
        <v>150</v>
      </c>
      <c r="H6" s="5" t="str">
        <f t="shared" si="1"/>
        <v>150</v>
      </c>
      <c r="I6" s="5">
        <f>Table1[[#This Row],[Units Sold]]*H6</f>
        <v>2250</v>
      </c>
      <c r="J6" s="6">
        <v>46031</v>
      </c>
      <c r="L6" s="8" t="s">
        <v>21</v>
      </c>
      <c r="M6" s="8" t="e">
        <v>#N/A</v>
      </c>
    </row>
    <row r="7" spans="1:13" ht="16.8" customHeight="1" x14ac:dyDescent="0.25">
      <c r="A7" s="1">
        <v>1006</v>
      </c>
      <c r="B7" s="1" t="s">
        <v>11</v>
      </c>
      <c r="C7" s="1" t="s">
        <v>12</v>
      </c>
      <c r="D7" s="1">
        <v>2</v>
      </c>
      <c r="E7" s="2">
        <v>7</v>
      </c>
      <c r="F7" s="2">
        <f t="shared" si="0"/>
        <v>7</v>
      </c>
      <c r="G7" s="4">
        <v>200</v>
      </c>
      <c r="H7" s="5" t="str">
        <f t="shared" si="1"/>
        <v>200</v>
      </c>
      <c r="I7" s="5">
        <f>Table1[[#This Row],[Units Sold]]*H7</f>
        <v>1400</v>
      </c>
      <c r="J7" s="6">
        <v>46032</v>
      </c>
      <c r="L7" s="8" t="s">
        <v>22</v>
      </c>
      <c r="M7" s="8">
        <v>1058.9237198422011</v>
      </c>
    </row>
    <row r="8" spans="1:13" ht="16.8" customHeight="1" x14ac:dyDescent="0.25">
      <c r="A8" s="1">
        <v>1007</v>
      </c>
      <c r="B8" s="1" t="s">
        <v>9</v>
      </c>
      <c r="C8" s="1" t="s">
        <v>10</v>
      </c>
      <c r="D8" s="1">
        <v>1</v>
      </c>
      <c r="E8" s="2">
        <v>3</v>
      </c>
      <c r="F8" s="2">
        <f t="shared" si="0"/>
        <v>3</v>
      </c>
      <c r="G8" s="4">
        <v>150</v>
      </c>
      <c r="H8" s="5" t="str">
        <f t="shared" si="1"/>
        <v>150</v>
      </c>
      <c r="I8" s="5">
        <f>Table1[[#This Row],[Units Sold]]*H8</f>
        <v>450</v>
      </c>
      <c r="J8" s="6">
        <v>46033</v>
      </c>
      <c r="L8" s="8" t="s">
        <v>23</v>
      </c>
      <c r="M8" s="8">
        <v>11950</v>
      </c>
    </row>
    <row r="9" spans="1:13" ht="16.8" customHeight="1" x14ac:dyDescent="0.25">
      <c r="A9" s="1">
        <v>1008</v>
      </c>
      <c r="B9" s="1" t="s">
        <v>13</v>
      </c>
      <c r="C9" s="1" t="s">
        <v>14</v>
      </c>
      <c r="D9" s="1">
        <v>3</v>
      </c>
      <c r="E9" s="2" t="s">
        <v>5</v>
      </c>
      <c r="F9" s="2">
        <f t="shared" si="0"/>
        <v>0</v>
      </c>
      <c r="G9" s="4">
        <v>25</v>
      </c>
      <c r="H9" s="5" t="str">
        <f t="shared" si="1"/>
        <v>25</v>
      </c>
      <c r="I9" s="5">
        <f>Table1[[#This Row],[Units Sold]]*H9</f>
        <v>0</v>
      </c>
      <c r="J9" s="6">
        <v>46034</v>
      </c>
      <c r="L9" s="8" t="s">
        <v>24</v>
      </c>
      <c r="M9" s="8">
        <v>9</v>
      </c>
    </row>
    <row r="10" spans="1:13" ht="16.8" customHeight="1" x14ac:dyDescent="0.25">
      <c r="A10" s="1">
        <v>1009</v>
      </c>
      <c r="B10" s="1" t="s">
        <v>15</v>
      </c>
      <c r="C10" s="1" t="s">
        <v>10</v>
      </c>
      <c r="D10" s="1">
        <v>1</v>
      </c>
      <c r="E10" s="2">
        <v>20</v>
      </c>
      <c r="F10" s="2">
        <f t="shared" si="0"/>
        <v>20</v>
      </c>
      <c r="G10" s="4">
        <v>150</v>
      </c>
      <c r="H10" s="5" t="str">
        <f t="shared" si="1"/>
        <v>150</v>
      </c>
      <c r="I10" s="5">
        <f>Table1[[#This Row],[Units Sold]]*H10</f>
        <v>3000</v>
      </c>
      <c r="J10" s="6">
        <v>46035</v>
      </c>
    </row>
    <row r="11" spans="1:13" ht="13.2" x14ac:dyDescent="0.25"/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Data Cleaning and 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Ajikumar</cp:lastModifiedBy>
  <dcterms:modified xsi:type="dcterms:W3CDTF">2026-04-28T09:46:16Z</dcterms:modified>
</cp:coreProperties>
</file>